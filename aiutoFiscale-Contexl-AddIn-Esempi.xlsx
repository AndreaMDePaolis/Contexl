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nax\Downloads\"/>
    </mc:Choice>
  </mc:AlternateContent>
  <xr:revisionPtr revIDLastSave="0" documentId="8_{E7F08C64-0D94-4BED-8D4E-5EBC4E929B3E}" xr6:coauthVersionLast="47" xr6:coauthVersionMax="47" xr10:uidLastSave="{00000000-0000-0000-0000-000000000000}"/>
  <bookViews>
    <workbookView xWindow="555" yWindow="0" windowWidth="27945" windowHeight="14820" activeTab="2" xr2:uid="{00000000-000D-0000-FFFF-FFFF00000000}"/>
  </bookViews>
  <sheets>
    <sheet name="Istruzioni" sheetId="1" r:id="rId1"/>
    <sheet name="Anagrafica Persone" sheetId="2" r:id="rId2"/>
    <sheet name="Clienti Fornitori" sheetId="3" r:id="rId3"/>
    <sheet name="Calcoli IVA" sheetId="4" r:id="rId4"/>
    <sheet name="IRPEF" sheetId="5" r:id="rId5"/>
    <sheet name="Calendario Fiscale" sheetId="6" r:id="rId6"/>
    <sheet name="Province IVA" sheetId="7" r:id="rId7"/>
    <sheet name="Utilita Test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C8" i="8" s="1"/>
  <c r="D8" i="8" s="1"/>
  <c r="B7" i="8"/>
  <c r="C7" i="8" s="1"/>
  <c r="D7" i="8" s="1"/>
  <c r="B6" i="8"/>
  <c r="C6" i="8" s="1"/>
  <c r="D6" i="8" s="1"/>
  <c r="B5" i="8"/>
  <c r="C5" i="8" s="1"/>
  <c r="D5" i="8" s="1"/>
  <c r="A23" i="7"/>
  <c r="B19" i="7"/>
  <c r="B18" i="7"/>
  <c r="B17" i="7"/>
  <c r="B16" i="7"/>
  <c r="B15" i="7"/>
  <c r="B10" i="7"/>
  <c r="B9" i="7"/>
  <c r="B8" i="7"/>
  <c r="B7" i="7"/>
  <c r="B6" i="7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D10" i="5"/>
  <c r="C10" i="5"/>
  <c r="D9" i="5"/>
  <c r="C9" i="5"/>
  <c r="D8" i="5"/>
  <c r="C8" i="5"/>
  <c r="D7" i="5"/>
  <c r="C7" i="5"/>
  <c r="D6" i="5"/>
  <c r="C6" i="5"/>
  <c r="D5" i="5"/>
  <c r="C5" i="5"/>
  <c r="D32" i="4"/>
  <c r="C32" i="4"/>
  <c r="E32" i="4" s="1"/>
  <c r="D31" i="4"/>
  <c r="C31" i="4"/>
  <c r="E31" i="4" s="1"/>
  <c r="D30" i="4"/>
  <c r="C30" i="4"/>
  <c r="E30" i="4" s="1"/>
  <c r="D29" i="4"/>
  <c r="C29" i="4"/>
  <c r="E29" i="4" s="1"/>
  <c r="D28" i="4"/>
  <c r="C28" i="4"/>
  <c r="E28" i="4" s="1"/>
  <c r="D27" i="4"/>
  <c r="C27" i="4"/>
  <c r="E27" i="4" s="1"/>
  <c r="D26" i="4"/>
  <c r="C26" i="4"/>
  <c r="E26" i="4" s="1"/>
  <c r="D25" i="4"/>
  <c r="C25" i="4"/>
  <c r="E25" i="4" s="1"/>
  <c r="D24" i="4"/>
  <c r="C24" i="4"/>
  <c r="E24" i="4" s="1"/>
  <c r="B17" i="4"/>
  <c r="C17" i="4" s="1"/>
  <c r="B16" i="4"/>
  <c r="C16" i="4" s="1"/>
  <c r="B15" i="4"/>
  <c r="C15" i="4" s="1"/>
  <c r="B10" i="4"/>
  <c r="D9" i="4"/>
  <c r="C9" i="4"/>
  <c r="D8" i="4"/>
  <c r="C8" i="4"/>
  <c r="D7" i="4"/>
  <c r="C7" i="4"/>
  <c r="D6" i="4"/>
  <c r="D10" i="4" s="1"/>
  <c r="C6" i="4"/>
  <c r="C10" i="4" s="1"/>
  <c r="F8" i="3"/>
  <c r="D8" i="3"/>
  <c r="C8" i="3"/>
  <c r="F7" i="3"/>
  <c r="D7" i="3"/>
  <c r="C7" i="3"/>
  <c r="F6" i="3"/>
  <c r="D6" i="3"/>
  <c r="C6" i="3"/>
  <c r="F5" i="3"/>
  <c r="D5" i="3"/>
  <c r="C5" i="3"/>
  <c r="I10" i="2"/>
  <c r="G10" i="2"/>
  <c r="F10" i="2"/>
  <c r="I9" i="2"/>
  <c r="F9" i="2"/>
  <c r="G9" i="2" s="1"/>
  <c r="F8" i="2"/>
  <c r="G8" i="2" s="1"/>
  <c r="I8" i="2" s="1"/>
  <c r="F7" i="2"/>
  <c r="G7" i="2" s="1"/>
  <c r="I7" i="2" s="1"/>
  <c r="F6" i="2"/>
  <c r="G6" i="2" s="1"/>
  <c r="I6" i="2" s="1"/>
  <c r="F5" i="2"/>
  <c r="G5" i="2" s="1"/>
  <c r="I5" i="2" s="1"/>
  <c r="F5" i="5" l="1"/>
  <c r="E5" i="5"/>
  <c r="F6" i="5"/>
  <c r="E6" i="5"/>
  <c r="F7" i="5"/>
  <c r="E7" i="5"/>
  <c r="F8" i="5"/>
  <c r="E8" i="5"/>
  <c r="F9" i="5"/>
  <c r="E9" i="5"/>
  <c r="F10" i="5"/>
  <c r="E10" i="5"/>
</calcChain>
</file>

<file path=xl/sharedStrings.xml><?xml version="1.0" encoding="utf-8"?>
<sst xmlns="http://schemas.openxmlformats.org/spreadsheetml/2006/main" count="220" uniqueCount="212">
  <si>
    <t>Fisco Add-in per Excel - Cartella di esempio</t>
  </si>
  <si>
    <t>Tutte le formule di questo file richiedono l'add-in Fisco installato e attivo.</t>
  </si>
  <si>
    <t>PRIMA DI INIZIARE</t>
  </si>
  <si>
    <t>Installazione</t>
  </si>
  <si>
    <t>Apri Excel, vai su File &gt; Opzioni &gt; Componenti aggiuntivi. In basso, nel menu 'Gestisci', scegli 'Componenti aggiuntivi di Excel' e premi 'Vai...'. Premi 'Sfoglia...' e seleziona il file .xll dell'add-in.</t>
  </si>
  <si>
    <t>Verifica</t>
  </si>
  <si>
    <t>Se nelle celle vedi #NOME? significa che l'add-in NON e' caricato: le formule sono corrette, ma Excel non riconosce ancora le funzioni. Installa l'add-in e premi CTRL+ALT+F9 per ricalcolare.</t>
  </si>
  <si>
    <t>Ricalcolo</t>
  </si>
  <si>
    <t>Dopo aver caricato l'add-in premi CTRL+ALT+F9 per forzare il ricalcolo di tutto il file.</t>
  </si>
  <si>
    <t>COME LEGGERE I FOGLI</t>
  </si>
  <si>
    <t>Celle gialle</t>
  </si>
  <si>
    <t>Dati di partenza: puoi modificarli liberamente, le formule si aggiornano da sole.</t>
  </si>
  <si>
    <t>Celle grigie</t>
  </si>
  <si>
    <t>Contengono formule dell'add-in: normalmente non vanno modificate.</t>
  </si>
  <si>
    <t>CONTENUTO DELLA CARTELLA</t>
  </si>
  <si>
    <t>Anagrafica Persone</t>
  </si>
  <si>
    <t>Generazione e controllo del codice fiscale: CF_COMUNE, CODICE.FISCALE, CF_CHECK.</t>
  </si>
  <si>
    <t>Clienti Fornitori</t>
  </si>
  <si>
    <t>Validazione dati aziendali: PARTITA.IVA, IVA.PROVINCIA.NOME, BANCA.IBAN.</t>
  </si>
  <si>
    <t>Calcoli IVA</t>
  </si>
  <si>
    <t>Calcolo, scorporo e totale con IVA in Italia e in Europa: FISCO.IVA.</t>
  </si>
  <si>
    <t>IRPEF</t>
  </si>
  <si>
    <t>Confronto tra il sistema di aliquote dal 2026 e quello precedente: FISCO.IRPEF.</t>
  </si>
  <si>
    <t>Calendario Fiscale</t>
  </si>
  <si>
    <t>Mese, periodo, anno e settimana fiscale: FISCO.MESEFISCALE, FISCO.QUADRIMESTRE, FISCO.ANNOFISCALE, FISCO.SETTIMANAFISCALE.</t>
  </si>
  <si>
    <t>Province IVA</t>
  </si>
  <si>
    <t>Elenco completo province e codici ufficio: IVA.PROVINCIA.MATRICE, IVA.PROVINCIA.CODICE.</t>
  </si>
  <si>
    <t>Utilita Testo</t>
  </si>
  <si>
    <t>Codifica e decodifica Base64: STRINGA.BASE64, BASE64.STRINGA.</t>
  </si>
  <si>
    <t>NOTA</t>
  </si>
  <si>
    <t>Le funzioni eseguono controlli formali e di calcolo: non sostituiscono la verifica di un professionista abilitato.</t>
  </si>
  <si>
    <t>Anagrafica persone fisiche - Codice fiscale</t>
  </si>
  <si>
    <t>Compila le colonne gialle: codice catastale, codice fiscale ed esito del confronto sono calcolati automaticamente.</t>
  </si>
  <si>
    <t>Cognome</t>
  </si>
  <si>
    <t>Nome</t>
  </si>
  <si>
    <t>Data nascita</t>
  </si>
  <si>
    <t>Sesso</t>
  </si>
  <si>
    <t>Comune nascita</t>
  </si>
  <si>
    <t>Cod. catastale</t>
  </si>
  <si>
    <t>CF calcolato</t>
  </si>
  <si>
    <t>CF da gestionale</t>
  </si>
  <si>
    <t>Esito</t>
  </si>
  <si>
    <t>Rossi</t>
  </si>
  <si>
    <t>Mario</t>
  </si>
  <si>
    <t>M</t>
  </si>
  <si>
    <t>Roma</t>
  </si>
  <si>
    <t>RSSMRA80E12H501U</t>
  </si>
  <si>
    <t>Bianchi</t>
  </si>
  <si>
    <t>Anna</t>
  </si>
  <si>
    <t>F</t>
  </si>
  <si>
    <t>Milano</t>
  </si>
  <si>
    <t>BNCNNA92P43F205K</t>
  </si>
  <si>
    <t>Verdi</t>
  </si>
  <si>
    <t>Luca</t>
  </si>
  <si>
    <t>Torino</t>
  </si>
  <si>
    <t>VRDLCU75S27L219B</t>
  </si>
  <si>
    <t>Esposito</t>
  </si>
  <si>
    <t>Giulia</t>
  </si>
  <si>
    <t>Napoli</t>
  </si>
  <si>
    <t>SPSGL188B55F839R</t>
  </si>
  <si>
    <t>Ferrari</t>
  </si>
  <si>
    <t>Chiara</t>
  </si>
  <si>
    <t>Bologna</t>
  </si>
  <si>
    <t>Colombo</t>
  </si>
  <si>
    <t>Paolo</t>
  </si>
  <si>
    <t>Firenze</t>
  </si>
  <si>
    <t>Formule usate (riga 5, da trascinare verso il basso):</t>
  </si>
  <si>
    <t>F5   =SE.ERRORE(CF_COMUNE(E5); "Comune non trovato")</t>
  </si>
  <si>
    <t>G5   =SE.ERRORE(CODICE.FISCALE(B5; A5; C5; D5; F5); "Dati incompleti")</t>
  </si>
  <si>
    <t>H5   dato importato dal gestionale (facoltativo)</t>
  </si>
  <si>
    <t>I5   =SE(H5=""; "Non presente"; SE(SE.ERRORE(CF_CHECK(H5); "")=G5; "Coincide"; "Da verificare"))</t>
  </si>
  <si>
    <t>CF_CHECK nella colonna I serve a rimuovere l'omocodia: senza questo passaggio un codice omocodico corretto</t>
  </si>
  <si>
    <t>risulterebbe erroneamente "Da verificare". La riga 8 contiene un errore volutamente inserito (1 al posto di I).</t>
  </si>
  <si>
    <t>Anagrafica clienti e fornitori - Partita IVA e IBAN</t>
  </si>
  <si>
    <t>Controlli formali su partita IVA e IBAN prima di emettere fatture o disporre bonifici.</t>
  </si>
  <si>
    <t>Ragione sociale</t>
  </si>
  <si>
    <t>Partita IVA</t>
  </si>
  <si>
    <t>P.IVA valida</t>
  </si>
  <si>
    <t>Provincia ufficio IVA</t>
  </si>
  <si>
    <t>IBAN</t>
  </si>
  <si>
    <t>IBAN valido</t>
  </si>
  <si>
    <t>Alfa S.r.l.</t>
  </si>
  <si>
    <t>00743110157</t>
  </si>
  <si>
    <t>IT60X0542811101000000123456</t>
  </si>
  <si>
    <t>Beta S.p.A.</t>
  </si>
  <si>
    <t>01234567890</t>
  </si>
  <si>
    <t>IT60X054281110100000012345</t>
  </si>
  <si>
    <t>Gamma S.n.c.</t>
  </si>
  <si>
    <t>00159560366</t>
  </si>
  <si>
    <t>IT40S0542811101000000123456</t>
  </si>
  <si>
    <t>Delta S.r.l.</t>
  </si>
  <si>
    <t>02150250228</t>
  </si>
  <si>
    <t>DE89370400440532013000</t>
  </si>
  <si>
    <t>C5   =PARTITA.IVA(B5)</t>
  </si>
  <si>
    <t>D5   =SE.ERRORE(IVA.PROVINCIA.NOME(STRINGA.ESTRAI(B5; 8; 3)); "Non determinata")</t>
  </si>
  <si>
    <t>F5   =BANCA.IBAN(E5)</t>
  </si>
  <si>
    <t>La colonna B e' formattata come Testo: senza questo accorgimento Excel eliminerebbe gli zeri iniziali</t>
  </si>
  <si>
    <t>e il controllo restituirebbe FALSO anche su partite IVA corrette.</t>
  </si>
  <si>
    <t>La provincia si ricava dalle cifre dalla 8a alla 10a della partita IVA.</t>
  </si>
  <si>
    <t>Calcolo, scorporo e totale IVA</t>
  </si>
  <si>
    <t>Modifica gli importi in giallo: IVA, imponibile e totale si aggiornano automaticamente.</t>
  </si>
  <si>
    <t>1. Registro fatture con IVA italiana ordinaria (22%)</t>
  </si>
  <si>
    <t>Documento</t>
  </si>
  <si>
    <t>Imponibile</t>
  </si>
  <si>
    <t>IVA</t>
  </si>
  <si>
    <t>Totale documento</t>
  </si>
  <si>
    <t>Fattura 001</t>
  </si>
  <si>
    <t>Fattura 002</t>
  </si>
  <si>
    <t>Fattura 003</t>
  </si>
  <si>
    <t>Fattura 004</t>
  </si>
  <si>
    <t>Totale</t>
  </si>
  <si>
    <t>2. Scorporo IVA da importi lordi</t>
  </si>
  <si>
    <t>Importo lordo</t>
  </si>
  <si>
    <t>Imponibile scorporato</t>
  </si>
  <si>
    <t>IVA scorporata</t>
  </si>
  <si>
    <t>3. Confronto IVA ordinaria nei paesi supportati (su un imponibile di riferimento)</t>
  </si>
  <si>
    <t>Imponibile di riferimento</t>
  </si>
  <si>
    <t>Paese</t>
  </si>
  <si>
    <t>Codice stato</t>
  </si>
  <si>
    <t>IVA ordinaria</t>
  </si>
  <si>
    <t>Totale con IVA</t>
  </si>
  <si>
    <t>Aliquota applicata</t>
  </si>
  <si>
    <t>Italia</t>
  </si>
  <si>
    <t>Francia</t>
  </si>
  <si>
    <t>Germania</t>
  </si>
  <si>
    <t>Spagna</t>
  </si>
  <si>
    <t>Austria</t>
  </si>
  <si>
    <t>Belgio</t>
  </si>
  <si>
    <t>Paesi Bassi</t>
  </si>
  <si>
    <t>Danimarca</t>
  </si>
  <si>
    <t>Finlandia</t>
  </si>
  <si>
    <t>Promemoria argomenti di FISCO.IVA:</t>
  </si>
  <si>
    <t>operazione:  0 = calcola IVA   1 = scorpora IVA   2 = totale con IVA inclusa</t>
  </si>
  <si>
    <t>stato:       0 IT  1 FR  2 DE  3 ES  4 AT  5 BE  6 NL  7 DK  8 FI</t>
  </si>
  <si>
    <t>aliquota:    0 ordinaria  1 ridotta  2 seconda ridotta  3 minima</t>
  </si>
  <si>
    <t>Richiedere un'aliquota non prevista per il paese restituisce #VALORE!</t>
  </si>
  <si>
    <t>Calcolo IRPEF lorda</t>
  </si>
  <si>
    <t>Confronto tra il sistema di aliquote in vigore dal 2026 e il precedente sistema a quattro scaglioni.</t>
  </si>
  <si>
    <t>Contribuente</t>
  </si>
  <si>
    <t>Reddito imponibile</t>
  </si>
  <si>
    <t>IRPEF dal 2026</t>
  </si>
  <si>
    <t>IRPEF sistema precedente</t>
  </si>
  <si>
    <t>Differenza</t>
  </si>
  <si>
    <t>Aliquota media 2026</t>
  </si>
  <si>
    <t>Dipendente A</t>
  </si>
  <si>
    <t>Dipendente B</t>
  </si>
  <si>
    <t>Dipendente C</t>
  </si>
  <si>
    <t>Dipendente D</t>
  </si>
  <si>
    <t>Dipendente E</t>
  </si>
  <si>
    <t>Dipendente F</t>
  </si>
  <si>
    <t>Formule usate:</t>
  </si>
  <si>
    <t>C5   =FISCO.IRPEF(B5)          sistema dal 2026 (23% - 35% - 43%)</t>
  </si>
  <si>
    <t>D5   =FISCO.IRPEF(B5; 1)       sistema precedente (23% - 25% - 35% - 43%)</t>
  </si>
  <si>
    <t>E5   =C5-D5                    differenza tra i due sistemi</t>
  </si>
  <si>
    <t>F5   =SE(B5=0; 0; C5/B5)       incidenza percentuale dell'imposta</t>
  </si>
  <si>
    <t>La funzione calcola l'imposta LORDA: non considera detrazioni, deduzioni e addizionali regionali o comunali.</t>
  </si>
  <si>
    <t>Calendario fiscale</t>
  </si>
  <si>
    <t>Esercizio non coincidente con l'anno solare: imposta il mese di apertura e la data di inizio nelle celle gialle.</t>
  </si>
  <si>
    <t>Mese di apertura dell'esercizio</t>
  </si>
  <si>
    <t>1 = gennaio ... 12 = dicembre</t>
  </si>
  <si>
    <t>Data di inizio dell'anno fiscale</t>
  </si>
  <si>
    <t>usata da FISCO.ANNOFISCALE e FISCO.SETTIMANAFISCALE</t>
  </si>
  <si>
    <t>Data movimento</t>
  </si>
  <si>
    <t>Mese</t>
  </si>
  <si>
    <t>Mese fiscale</t>
  </si>
  <si>
    <t>Periodo (3 mesi)</t>
  </si>
  <si>
    <t>Anno fiscale</t>
  </si>
  <si>
    <t>Settimana fiscale</t>
  </si>
  <si>
    <t>Settimana ISO</t>
  </si>
  <si>
    <t>Formule usate (riga 8):</t>
  </si>
  <si>
    <t>C8   =FISCO.MESEFISCALE(B8; $C$4)          numero progressivo del mese nell'esercizio (1-12)</t>
  </si>
  <si>
    <t>D8   =FISCO.QUADRIMESTRE(B8; $C$4)         periodo di tre mesi (1-4)</t>
  </si>
  <si>
    <t>E8   =FISCO.ANNOFISCALE(A8; $C$5)          anno fiscale di appartenenza</t>
  </si>
  <si>
    <t>F8   =FISCO.SETTIMANAFISCALE(A8; $C$5)     settimana contata dall'apertura dell'esercizio</t>
  </si>
  <si>
    <t>G8   =FISCO.SETTIMANAFISCALE(A8)           settimana standard ISO 8601</t>
  </si>
  <si>
    <t>La settimana inizia sempre di lunedi'. Se l'esercizio non apre di lunedi', i primi giorni</t>
  </si>
  <si>
    <t>formano una prima settimana piu' corta, numerata comunque come settimana 1.</t>
  </si>
  <si>
    <t>Le colonne C e D sono ideali come campi di raggruppamento nelle tabelle pivot.</t>
  </si>
  <si>
    <t>Province e codici ufficio IVA</t>
  </si>
  <si>
    <t>Ricerca diretta e inversa, piu' l'elenco completo restituito dall'add-in.</t>
  </si>
  <si>
    <t>Ricerca del codice a partire dalla provincia</t>
  </si>
  <si>
    <t>Provincia</t>
  </si>
  <si>
    <t>Codice ufficio</t>
  </si>
  <si>
    <t>Trento</t>
  </si>
  <si>
    <t>Milano I</t>
  </si>
  <si>
    <t>Roma I</t>
  </si>
  <si>
    <t>Napoli I</t>
  </si>
  <si>
    <t>Verona</t>
  </si>
  <si>
    <t>Ricerca della provincia a partire dal codice</t>
  </si>
  <si>
    <t>022</t>
  </si>
  <si>
    <t>015</t>
  </si>
  <si>
    <t>058</t>
  </si>
  <si>
    <t>001</t>
  </si>
  <si>
    <t>092</t>
  </si>
  <si>
    <t>Elenco completo (matrice dinamica)</t>
  </si>
  <si>
    <t>In Excel Microsoft 365 e 2021 la formula si espande automaticamente su tutte le righe e 3 colonne.</t>
  </si>
  <si>
    <t>Nelle versioni precedenti seleziona un'area di 97 righe per 3 colonne e conferma con CTRL+MAIUSC+INVIO.</t>
  </si>
  <si>
    <t>Il codice va sempre indicato come testo ("022" e non 22) perche' contiene zeri iniziali.</t>
  </si>
  <si>
    <t>Conversioni Base64</t>
  </si>
  <si>
    <t>Codifica e decodifica di stringhe di testo, con verifica del percorso di andata e ritorno.</t>
  </si>
  <si>
    <t>Testo originale</t>
  </si>
  <si>
    <t>Codifica Base64</t>
  </si>
  <si>
    <t>Testo ricostruito</t>
  </si>
  <si>
    <t>Ciao</t>
  </si>
  <si>
    <t>Fattura 2026/001</t>
  </si>
  <si>
    <t>Andrea De Paolis</t>
  </si>
  <si>
    <t>Importo: 1.220,00 EUR</t>
  </si>
  <si>
    <t>Formule usate (riga 5):</t>
  </si>
  <si>
    <t>B5   =STRINGA.BASE64(A5)       testo -&gt; Base64 (codifica UTF-8)</t>
  </si>
  <si>
    <t>C5   =BASE64.STRINGA(B5)       Base64 -&gt; testo</t>
  </si>
  <si>
    <t>D5   =SE(A5=C5; "OK"; "Differente")</t>
  </si>
  <si>
    <t>Se il valore fornito a BASE64.STRINGA non e' una stringa Base64 valida, il risultato e' #VALORE!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</si>
</sst>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EUR&quot;"/>
    <numFmt numFmtId="165" formatCode="0.0%"/>
    <numFmt numFmtId="166" formatCode="#,##0\ &quot;EUR&quot;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1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i/>
      <sz val="9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14" fontId="7" fillId="3" borderId="1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4" fillId="0" borderId="0" xfId="0" applyFont="1"/>
    <xf numFmtId="0" fontId="9" fillId="0" borderId="0" xfId="0" applyFont="1"/>
    <xf numFmtId="49" fontId="7" fillId="3" borderId="1" xfId="0" applyNumberFormat="1" applyFont="1" applyFill="1" applyBorder="1"/>
    <xf numFmtId="164" fontId="7" fillId="3" borderId="1" xfId="0" applyNumberFormat="1" applyFont="1" applyFill="1" applyBorder="1"/>
    <xf numFmtId="164" fontId="8" fillId="4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165" fontId="8" fillId="4" borderId="1" xfId="0" applyNumberFormat="1" applyFont="1" applyFill="1" applyBorder="1"/>
    <xf numFmtId="166" fontId="7" fillId="3" borderId="1" xfId="0" applyNumberFormat="1" applyFont="1" applyFill="1" applyBorder="1"/>
    <xf numFmtId="1" fontId="8" fillId="4" borderId="1" xfId="0" applyNumberFormat="1" applyFont="1" applyFill="1" applyBorder="1"/>
    <xf numFmtId="49" fontId="7" fillId="3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3" width="95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B4" s="3" t="s">
        <v>2</v>
      </c>
    </row>
    <row r="5" spans="1:3" ht="30" customHeight="1" x14ac:dyDescent="0.25">
      <c r="B5" s="4" t="s">
        <v>3</v>
      </c>
      <c r="C5" s="5" t="s">
        <v>4</v>
      </c>
    </row>
    <row r="6" spans="1:3" ht="30" customHeight="1" x14ac:dyDescent="0.25">
      <c r="B6" s="4" t="s">
        <v>5</v>
      </c>
      <c r="C6" s="5" t="s">
        <v>6</v>
      </c>
    </row>
    <row r="7" spans="1:3" ht="30" customHeight="1" x14ac:dyDescent="0.25">
      <c r="B7" s="4" t="s">
        <v>7</v>
      </c>
      <c r="C7" s="5" t="s">
        <v>8</v>
      </c>
    </row>
    <row r="9" spans="1:3" x14ac:dyDescent="0.25">
      <c r="B9" s="3" t="s">
        <v>9</v>
      </c>
    </row>
    <row r="10" spans="1:3" ht="30" customHeight="1" x14ac:dyDescent="0.25">
      <c r="B10" s="4" t="s">
        <v>10</v>
      </c>
      <c r="C10" s="5" t="s">
        <v>11</v>
      </c>
    </row>
    <row r="11" spans="1:3" ht="30" customHeight="1" x14ac:dyDescent="0.25">
      <c r="B11" s="4" t="s">
        <v>12</v>
      </c>
      <c r="C11" s="5" t="s">
        <v>13</v>
      </c>
    </row>
    <row r="13" spans="1:3" x14ac:dyDescent="0.25">
      <c r="B13" s="3" t="s">
        <v>14</v>
      </c>
    </row>
    <row r="14" spans="1:3" ht="30" customHeight="1" x14ac:dyDescent="0.25">
      <c r="B14" s="4" t="s">
        <v>15</v>
      </c>
      <c r="C14" s="5" t="s">
        <v>16</v>
      </c>
    </row>
    <row r="15" spans="1:3" ht="30" customHeight="1" x14ac:dyDescent="0.25">
      <c r="B15" s="4" t="s">
        <v>17</v>
      </c>
      <c r="C15" s="5" t="s">
        <v>18</v>
      </c>
    </row>
    <row r="16" spans="1:3" ht="30" customHeight="1" x14ac:dyDescent="0.25">
      <c r="B16" s="4" t="s">
        <v>19</v>
      </c>
      <c r="C16" s="5" t="s">
        <v>20</v>
      </c>
    </row>
    <row r="17" spans="2:3" ht="30" customHeight="1" x14ac:dyDescent="0.25">
      <c r="B17" s="4" t="s">
        <v>21</v>
      </c>
      <c r="C17" s="5" t="s">
        <v>22</v>
      </c>
    </row>
    <row r="18" spans="2:3" ht="30" customHeight="1" x14ac:dyDescent="0.25">
      <c r="B18" s="4" t="s">
        <v>23</v>
      </c>
      <c r="C18" s="5" t="s">
        <v>24</v>
      </c>
    </row>
    <row r="19" spans="2:3" ht="30" customHeight="1" x14ac:dyDescent="0.25">
      <c r="B19" s="4" t="s">
        <v>25</v>
      </c>
      <c r="C19" s="5" t="s">
        <v>26</v>
      </c>
    </row>
    <row r="20" spans="2:3" ht="30" customHeight="1" x14ac:dyDescent="0.25">
      <c r="B20" s="4" t="s">
        <v>27</v>
      </c>
      <c r="C20" s="5" t="s">
        <v>28</v>
      </c>
    </row>
    <row r="22" spans="2:3" ht="30" customHeight="1" x14ac:dyDescent="0.25">
      <c r="B22" s="4" t="s">
        <v>29</v>
      </c>
      <c r="C22" s="5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6" customWidth="1"/>
    <col min="3" max="3" width="13" customWidth="1"/>
    <col min="4" max="4" width="8" customWidth="1"/>
    <col min="5" max="5" width="20" customWidth="1"/>
    <col min="6" max="6" width="14" customWidth="1"/>
    <col min="7" max="8" width="20" customWidth="1"/>
    <col min="9" max="9" width="18" customWidth="1"/>
  </cols>
  <sheetData>
    <row r="1" spans="1:9" ht="18" x14ac:dyDescent="0.25">
      <c r="A1" s="1" t="s">
        <v>31</v>
      </c>
    </row>
    <row r="2" spans="1:9" x14ac:dyDescent="0.25">
      <c r="A2" s="2" t="s">
        <v>32</v>
      </c>
    </row>
    <row r="4" spans="1:9" ht="30" customHeight="1" x14ac:dyDescent="0.2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</row>
    <row r="5" spans="1:9" x14ac:dyDescent="0.25">
      <c r="A5" s="7" t="s">
        <v>42</v>
      </c>
      <c r="B5" s="7" t="s">
        <v>43</v>
      </c>
      <c r="C5" s="8">
        <v>29353</v>
      </c>
      <c r="D5" s="9" t="s">
        <v>44</v>
      </c>
      <c r="E5" s="7" t="s">
        <v>45</v>
      </c>
      <c r="F5" s="10" t="str">
        <f>IFERROR(_xll.CF_COMUNE(E5),"Comune non trovato")</f>
        <v>H501</v>
      </c>
      <c r="G5" s="11" t="str">
        <f>IFERROR(_xll.CODICE.FISCALE(B5,A5,C5,D5,F5),"Dati incompleti")</f>
        <v>RSSMRA80E12H501I</v>
      </c>
      <c r="H5" s="7" t="s">
        <v>46</v>
      </c>
      <c r="I5" s="11" t="str">
        <f>IF(H5="","Non presente",IF(IFERROR(_xll.CF_CHECK(H5),"")=G5,"Coincide","Da verificare"))</f>
        <v>Coincide</v>
      </c>
    </row>
    <row r="6" spans="1:9" x14ac:dyDescent="0.25">
      <c r="A6" s="7" t="s">
        <v>47</v>
      </c>
      <c r="B6" s="7" t="s">
        <v>48</v>
      </c>
      <c r="C6" s="8">
        <v>33850</v>
      </c>
      <c r="D6" s="9" t="s">
        <v>49</v>
      </c>
      <c r="E6" s="7" t="s">
        <v>50</v>
      </c>
      <c r="F6" s="10" t="str">
        <f>IFERROR(_xll.CF_COMUNE(E6),"Comune non trovato")</f>
        <v>F205</v>
      </c>
      <c r="G6" s="11" t="str">
        <f>IFERROR(_xll.CODICE.FISCALE(B6,A6,C6,D6,F6),"Dati incompleti")</f>
        <v>BNCNNA92P43F205H</v>
      </c>
      <c r="H6" s="7" t="s">
        <v>51</v>
      </c>
      <c r="I6" s="11" t="str">
        <f>IF(H6="","Non presente",IF(IFERROR(_xll.CF_CHECK(H6),"")=G6,"Coincide","Da verificare"))</f>
        <v>Coincide</v>
      </c>
    </row>
    <row r="7" spans="1:9" x14ac:dyDescent="0.25">
      <c r="A7" s="7" t="s">
        <v>52</v>
      </c>
      <c r="B7" s="7" t="s">
        <v>53</v>
      </c>
      <c r="C7" s="8">
        <v>27725</v>
      </c>
      <c r="D7" s="9" t="s">
        <v>44</v>
      </c>
      <c r="E7" s="7" t="s">
        <v>54</v>
      </c>
      <c r="F7" s="10" t="str">
        <f>IFERROR(_xll.CF_COMUNE(E7),"Comune non trovato")</f>
        <v>L219</v>
      </c>
      <c r="G7" s="11" t="str">
        <f>IFERROR(_xll.CODICE.FISCALE(B7,A7,C7,D7,F7),"Dati incompleti")</f>
        <v>VRDLCU75S27L219F</v>
      </c>
      <c r="H7" s="7" t="s">
        <v>55</v>
      </c>
      <c r="I7" s="11" t="str">
        <f>IF(H7="","Non presente",IF(IFERROR(_xll.CF_CHECK(H7),"")=G7,"Coincide","Da verificare"))</f>
        <v>Coincide</v>
      </c>
    </row>
    <row r="8" spans="1:9" x14ac:dyDescent="0.25">
      <c r="A8" s="7" t="s">
        <v>56</v>
      </c>
      <c r="B8" s="7" t="s">
        <v>57</v>
      </c>
      <c r="C8" s="8">
        <v>32188</v>
      </c>
      <c r="D8" s="9" t="s">
        <v>49</v>
      </c>
      <c r="E8" s="7" t="s">
        <v>58</v>
      </c>
      <c r="F8" s="10" t="str">
        <f>IFERROR(_xll.CF_COMUNE(E8),"Comune non trovato")</f>
        <v>F839</v>
      </c>
      <c r="G8" s="11" t="str">
        <f>IFERROR(_xll.CODICE.FISCALE(B8,A8,C8,D8,F8),"Dati incompleti")</f>
        <v>SPSGLI88B55F839U</v>
      </c>
      <c r="H8" s="7" t="s">
        <v>59</v>
      </c>
      <c r="I8" s="11" t="str">
        <f>IF(H8="","Non presente",IF(IFERROR(_xll.CF_CHECK(H8),"")=G8,"Coincide","Da verificare"))</f>
        <v>Da verificare</v>
      </c>
    </row>
    <row r="9" spans="1:9" x14ac:dyDescent="0.25">
      <c r="A9" s="7" t="s">
        <v>60</v>
      </c>
      <c r="B9" s="7" t="s">
        <v>61</v>
      </c>
      <c r="C9" s="8">
        <v>37080</v>
      </c>
      <c r="D9" s="9" t="s">
        <v>49</v>
      </c>
      <c r="E9" s="7" t="s">
        <v>62</v>
      </c>
      <c r="F9" s="10" t="str">
        <f>IFERROR(_xll.CF_COMUNE(E9),"Comune non trovato")</f>
        <v>A944</v>
      </c>
      <c r="G9" s="11" t="str">
        <f>IFERROR(_xll.CODICE.FISCALE(B9,A9,C9,D9,F9),"Dati incompleti")</f>
        <v>FRRCHR01L48A944H</v>
      </c>
      <c r="H9" s="7"/>
      <c r="I9" s="11" t="str">
        <f>IF(H9="","Non presente",IF(IFERROR(_xll.CF_CHECK(H9),"")=G9,"Coincide","Da verificare"))</f>
        <v>Non presente</v>
      </c>
    </row>
    <row r="10" spans="1:9" x14ac:dyDescent="0.25">
      <c r="A10" s="7" t="s">
        <v>63</v>
      </c>
      <c r="B10" s="7" t="s">
        <v>64</v>
      </c>
      <c r="C10" s="8">
        <v>25283</v>
      </c>
      <c r="D10" s="9" t="s">
        <v>44</v>
      </c>
      <c r="E10" s="7" t="s">
        <v>65</v>
      </c>
      <c r="F10" s="10" t="str">
        <f>IFERROR(_xll.CF_COMUNE(E10),"Comune non trovato")</f>
        <v>D612</v>
      </c>
      <c r="G10" s="11" t="str">
        <f>IFERROR(_xll.CODICE.FISCALE(B10,A10,C10,D10,F10),"Dati incompleti")</f>
        <v>CLMPLA69C21D612E</v>
      </c>
      <c r="H10" s="7"/>
      <c r="I10" s="11" t="str">
        <f>IF(H10="","Non presente",IF(IFERROR(_xll.CF_CHECK(H10),"")=G10,"Coincide","Da verificare"))</f>
        <v>Non presente</v>
      </c>
    </row>
    <row r="12" spans="1:9" x14ac:dyDescent="0.25">
      <c r="A12" s="12" t="s">
        <v>66</v>
      </c>
    </row>
    <row r="13" spans="1:9" x14ac:dyDescent="0.25">
      <c r="A13" s="13" t="s">
        <v>67</v>
      </c>
    </row>
    <row r="14" spans="1:9" x14ac:dyDescent="0.25">
      <c r="A14" s="13" t="s">
        <v>68</v>
      </c>
    </row>
    <row r="15" spans="1:9" x14ac:dyDescent="0.25">
      <c r="A15" s="13" t="s">
        <v>69</v>
      </c>
    </row>
    <row r="16" spans="1:9" x14ac:dyDescent="0.25">
      <c r="A16" s="13" t="s">
        <v>70</v>
      </c>
    </row>
    <row r="17" spans="1:1" x14ac:dyDescent="0.25">
      <c r="A17" s="13"/>
    </row>
    <row r="18" spans="1:1" x14ac:dyDescent="0.25">
      <c r="A18" s="13" t="s">
        <v>71</v>
      </c>
    </row>
    <row r="19" spans="1:1" x14ac:dyDescent="0.25">
      <c r="A19" s="13" t="s">
        <v>72</v>
      </c>
    </row>
  </sheetData>
  <dataValidations count="1">
    <dataValidation type="list" allowBlank="1" sqref="D5:D10" xr:uid="{00000000-0002-0000-0100-000000000000}">
      <formula1>"M,F"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22" customWidth="1"/>
    <col min="5" max="5" width="34" customWidth="1"/>
    <col min="6" max="6" width="14" customWidth="1"/>
  </cols>
  <sheetData>
    <row r="1" spans="1:6" ht="18" x14ac:dyDescent="0.25">
      <c r="A1" s="1" t="s">
        <v>73</v>
      </c>
    </row>
    <row r="2" spans="1:6" x14ac:dyDescent="0.25">
      <c r="A2" s="2" t="s">
        <v>74</v>
      </c>
    </row>
    <row r="4" spans="1:6" ht="30" customHeight="1" x14ac:dyDescent="0.25">
      <c r="A4" s="6" t="s">
        <v>75</v>
      </c>
      <c r="B4" s="6" t="s">
        <v>76</v>
      </c>
      <c r="C4" s="6" t="s">
        <v>77</v>
      </c>
      <c r="D4" s="6" t="s">
        <v>78</v>
      </c>
      <c r="E4" s="6" t="s">
        <v>79</v>
      </c>
      <c r="F4" s="6" t="s">
        <v>80</v>
      </c>
    </row>
    <row r="5" spans="1:6" x14ac:dyDescent="0.25">
      <c r="A5" s="7" t="s">
        <v>81</v>
      </c>
      <c r="B5" s="14" t="s">
        <v>82</v>
      </c>
      <c r="C5" s="11" t="b">
        <f>_xll.PARTITA.IVA(B5)</f>
        <v>1</v>
      </c>
      <c r="D5" s="11" t="str">
        <f>IFERROR(_xll.IVA.PROVINCIA.NOME(MID(B5,8,3)),"Non determinata")</f>
        <v>Milano I</v>
      </c>
      <c r="E5" s="7" t="s">
        <v>83</v>
      </c>
      <c r="F5" s="11" t="b">
        <f>_xll.BANCA.IBAN(E5)</f>
        <v>1</v>
      </c>
    </row>
    <row r="6" spans="1:6" x14ac:dyDescent="0.25">
      <c r="A6" s="7" t="s">
        <v>84</v>
      </c>
      <c r="B6" s="14" t="s">
        <v>85</v>
      </c>
      <c r="C6" s="11" t="b">
        <f>_xll.PARTITA.IVA(B6)</f>
        <v>0</v>
      </c>
      <c r="D6" s="11" t="str">
        <f>IFERROR(_xll.IVA.PROVINCIA.NOME(MID(B6,8,3)),"Non determinata")</f>
        <v>Non determinata</v>
      </c>
      <c r="E6" s="7" t="s">
        <v>86</v>
      </c>
      <c r="F6" s="11" t="b">
        <f>_xll.BANCA.IBAN(E6)</f>
        <v>0</v>
      </c>
    </row>
    <row r="7" spans="1:6" x14ac:dyDescent="0.25">
      <c r="A7" s="7" t="s">
        <v>87</v>
      </c>
      <c r="B7" s="14" t="s">
        <v>88</v>
      </c>
      <c r="C7" s="11" t="b">
        <f>_xll.PARTITA.IVA(B7)</f>
        <v>1</v>
      </c>
      <c r="D7" s="11" t="str">
        <f>IFERROR(_xll.IVA.PROVINCIA.NOME(MID(B7,8,3)),"Non determinata")</f>
        <v>Modena</v>
      </c>
      <c r="E7" s="7" t="s">
        <v>89</v>
      </c>
      <c r="F7" s="11" t="b">
        <f>_xll.BANCA.IBAN(E7)</f>
        <v>1</v>
      </c>
    </row>
    <row r="8" spans="1:6" x14ac:dyDescent="0.25">
      <c r="A8" s="7" t="s">
        <v>90</v>
      </c>
      <c r="B8" s="14" t="s">
        <v>91</v>
      </c>
      <c r="C8" s="11" t="b">
        <f>_xll.PARTITA.IVA(B8)</f>
        <v>0</v>
      </c>
      <c r="D8" s="11" t="str">
        <f>IFERROR(_xll.IVA.PROVINCIA.NOME(MID(B8,8,3)),"Non determinata")</f>
        <v>Trento</v>
      </c>
      <c r="E8" s="7" t="s">
        <v>92</v>
      </c>
      <c r="F8" s="11" t="b">
        <f>_xll.BANCA.IBAN(E8)</f>
        <v>1</v>
      </c>
    </row>
    <row r="11" spans="1:6" x14ac:dyDescent="0.25">
      <c r="A11" s="12" t="s">
        <v>66</v>
      </c>
    </row>
    <row r="12" spans="1:6" x14ac:dyDescent="0.25">
      <c r="A12" s="13" t="s">
        <v>93</v>
      </c>
    </row>
    <row r="13" spans="1:6" x14ac:dyDescent="0.25">
      <c r="A13" s="13" t="s">
        <v>94</v>
      </c>
    </row>
    <row r="14" spans="1:6" x14ac:dyDescent="0.25">
      <c r="A14" s="13" t="s">
        <v>95</v>
      </c>
    </row>
    <row r="15" spans="1:6" x14ac:dyDescent="0.25">
      <c r="A15" s="13"/>
    </row>
    <row r="16" spans="1:6" x14ac:dyDescent="0.25">
      <c r="A16" s="13" t="s">
        <v>96</v>
      </c>
    </row>
    <row r="17" spans="1:1" x14ac:dyDescent="0.25">
      <c r="A17" s="13" t="s">
        <v>97</v>
      </c>
    </row>
    <row r="18" spans="1:1" x14ac:dyDescent="0.25">
      <c r="A18" s="13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showGridLines="0" workbookViewId="0"/>
  </sheetViews>
  <sheetFormatPr defaultRowHeight="15" x14ac:dyDescent="0.25"/>
  <cols>
    <col min="1" max="1" width="18" customWidth="1"/>
    <col min="2" max="2" width="14" customWidth="1"/>
    <col min="3" max="3" width="16" customWidth="1"/>
    <col min="4" max="5" width="18" customWidth="1"/>
  </cols>
  <sheetData>
    <row r="1" spans="1:4" ht="18" x14ac:dyDescent="0.25">
      <c r="A1" s="1" t="s">
        <v>99</v>
      </c>
    </row>
    <row r="2" spans="1:4" x14ac:dyDescent="0.25">
      <c r="A2" s="2" t="s">
        <v>100</v>
      </c>
    </row>
    <row r="4" spans="1:4" x14ac:dyDescent="0.25">
      <c r="A4" s="3" t="s">
        <v>101</v>
      </c>
    </row>
    <row r="5" spans="1:4" ht="30" customHeight="1" x14ac:dyDescent="0.25">
      <c r="A5" s="6" t="s">
        <v>102</v>
      </c>
      <c r="B5" s="6" t="s">
        <v>103</v>
      </c>
      <c r="C5" s="6" t="s">
        <v>104</v>
      </c>
      <c r="D5" s="6" t="s">
        <v>105</v>
      </c>
    </row>
    <row r="6" spans="1:4" x14ac:dyDescent="0.25">
      <c r="A6" s="7" t="s">
        <v>106</v>
      </c>
      <c r="B6" s="15">
        <v>1000</v>
      </c>
      <c r="C6" s="16">
        <f>_xll.FISCO.IVA(B6)</f>
        <v>219.9999988079071</v>
      </c>
      <c r="D6" s="16">
        <f>_xll.FISCO.IVA(B6,2)</f>
        <v>1220.0000286102295</v>
      </c>
    </row>
    <row r="7" spans="1:4" x14ac:dyDescent="0.25">
      <c r="A7" s="7" t="s">
        <v>107</v>
      </c>
      <c r="B7" s="15">
        <v>750.5</v>
      </c>
      <c r="C7" s="16">
        <f>_xll.FISCO.IVA(B7)</f>
        <v>165.10999910533428</v>
      </c>
      <c r="D7" s="16">
        <f>_xll.FISCO.IVA(B7,2)</f>
        <v>915.61002147197723</v>
      </c>
    </row>
    <row r="8" spans="1:4" x14ac:dyDescent="0.25">
      <c r="A8" s="7" t="s">
        <v>108</v>
      </c>
      <c r="B8" s="15">
        <v>2480</v>
      </c>
      <c r="C8" s="16">
        <f>_xll.FISCO.IVA(B8)</f>
        <v>545.59999704360962</v>
      </c>
      <c r="D8" s="16">
        <f>_xll.FISCO.IVA(B8,2)</f>
        <v>3025.6000709533691</v>
      </c>
    </row>
    <row r="9" spans="1:4" x14ac:dyDescent="0.25">
      <c r="A9" s="7" t="s">
        <v>109</v>
      </c>
      <c r="B9" s="15">
        <v>129.9</v>
      </c>
      <c r="C9" s="16">
        <f>_xll.FISCO.IVA(B9)</f>
        <v>28.577999845147133</v>
      </c>
      <c r="D9" s="16">
        <f>_xll.FISCO.IVA(B9,2)</f>
        <v>158.47800371646881</v>
      </c>
    </row>
    <row r="10" spans="1:4" x14ac:dyDescent="0.25">
      <c r="A10" s="17" t="s">
        <v>110</v>
      </c>
      <c r="B10" s="18">
        <f>SUM(B6:B9)</f>
        <v>4360.3999999999996</v>
      </c>
      <c r="C10" s="18">
        <f>SUM(C6:C9)</f>
        <v>959.28799480199814</v>
      </c>
      <c r="D10" s="18">
        <f>SUM(D6:D9)</f>
        <v>5319.688124752045</v>
      </c>
    </row>
    <row r="13" spans="1:4" x14ac:dyDescent="0.25">
      <c r="A13" s="3" t="s">
        <v>111</v>
      </c>
    </row>
    <row r="14" spans="1:4" ht="30" customHeight="1" x14ac:dyDescent="0.25">
      <c r="A14" s="6" t="s">
        <v>112</v>
      </c>
      <c r="B14" s="6" t="s">
        <v>113</v>
      </c>
      <c r="C14" s="6" t="s">
        <v>114</v>
      </c>
    </row>
    <row r="15" spans="1:4" x14ac:dyDescent="0.25">
      <c r="A15" s="15">
        <v>1220</v>
      </c>
      <c r="B15" s="16">
        <f>_xll.FISCO.IVA(A15,1)</f>
        <v>999.99997654899278</v>
      </c>
      <c r="C15" s="16">
        <f>A15-B15</f>
        <v>220.00002345100722</v>
      </c>
    </row>
    <row r="16" spans="1:4" x14ac:dyDescent="0.25">
      <c r="A16" s="15">
        <v>305</v>
      </c>
      <c r="B16" s="16">
        <f>_xll.FISCO.IVA(A16,1)</f>
        <v>249.99999413724819</v>
      </c>
      <c r="C16" s="16">
        <f>A16-B16</f>
        <v>55.000005862751806</v>
      </c>
    </row>
    <row r="17" spans="1:5" x14ac:dyDescent="0.25">
      <c r="A17" s="15">
        <v>1000</v>
      </c>
      <c r="B17" s="16">
        <f>_xll.FISCO.IVA(A17,1)</f>
        <v>819.6721119254039</v>
      </c>
      <c r="C17" s="16">
        <f>A17-B17</f>
        <v>180.3278880745961</v>
      </c>
    </row>
    <row r="20" spans="1:5" x14ac:dyDescent="0.25">
      <c r="A20" s="3" t="s">
        <v>115</v>
      </c>
    </row>
    <row r="21" spans="1:5" x14ac:dyDescent="0.25">
      <c r="A21" s="12" t="s">
        <v>116</v>
      </c>
      <c r="B21" s="15">
        <v>1000</v>
      </c>
    </row>
    <row r="23" spans="1:5" ht="30" customHeight="1" x14ac:dyDescent="0.25">
      <c r="A23" s="6" t="s">
        <v>117</v>
      </c>
      <c r="B23" s="6" t="s">
        <v>118</v>
      </c>
      <c r="C23" s="6" t="s">
        <v>119</v>
      </c>
      <c r="D23" s="6" t="s">
        <v>120</v>
      </c>
      <c r="E23" s="6" t="s">
        <v>121</v>
      </c>
    </row>
    <row r="24" spans="1:5" x14ac:dyDescent="0.25">
      <c r="A24" s="19" t="s">
        <v>122</v>
      </c>
      <c r="B24" s="9">
        <v>0</v>
      </c>
      <c r="C24" s="16">
        <f t="shared" ref="C24:C32" si="0">_xll.FISCO.IVA($B$21,0,B24)</f>
        <v>219.9999988079071</v>
      </c>
      <c r="D24" s="16">
        <f t="shared" ref="D24:D32" si="1">_xll.FISCO.IVA($B$21,2,B24)</f>
        <v>1220.0000286102295</v>
      </c>
      <c r="E24" s="20">
        <f t="shared" ref="E24:E32" si="2">C24/$B$21</f>
        <v>0.2199999988079071</v>
      </c>
    </row>
    <row r="25" spans="1:5" x14ac:dyDescent="0.25">
      <c r="A25" s="19" t="s">
        <v>123</v>
      </c>
      <c r="B25" s="9">
        <v>1</v>
      </c>
      <c r="C25" s="16">
        <f t="shared" si="0"/>
        <v>200.00000298023224</v>
      </c>
      <c r="D25" s="16">
        <f t="shared" si="1"/>
        <v>1200.0000476837158</v>
      </c>
      <c r="E25" s="20">
        <f t="shared" si="2"/>
        <v>0.20000000298023224</v>
      </c>
    </row>
    <row r="26" spans="1:5" x14ac:dyDescent="0.25">
      <c r="A26" s="19" t="s">
        <v>124</v>
      </c>
      <c r="B26" s="9">
        <v>2</v>
      </c>
      <c r="C26" s="16">
        <f t="shared" si="0"/>
        <v>189.99999761581421</v>
      </c>
      <c r="D26" s="16">
        <f t="shared" si="1"/>
        <v>1190.000057220459</v>
      </c>
      <c r="E26" s="20">
        <f t="shared" si="2"/>
        <v>0.18999999761581421</v>
      </c>
    </row>
    <row r="27" spans="1:5" x14ac:dyDescent="0.25">
      <c r="A27" s="19" t="s">
        <v>125</v>
      </c>
      <c r="B27" s="9">
        <v>3</v>
      </c>
      <c r="C27" s="16">
        <f t="shared" si="0"/>
        <v>209.99999344348907</v>
      </c>
      <c r="D27" s="16">
        <f t="shared" si="1"/>
        <v>1210.0000381469727</v>
      </c>
      <c r="E27" s="20">
        <f t="shared" si="2"/>
        <v>0.20999999344348907</v>
      </c>
    </row>
    <row r="28" spans="1:5" x14ac:dyDescent="0.25">
      <c r="A28" s="19" t="s">
        <v>126</v>
      </c>
      <c r="B28" s="9">
        <v>4</v>
      </c>
      <c r="C28" s="16">
        <f t="shared" si="0"/>
        <v>200.00000298023224</v>
      </c>
      <c r="D28" s="16">
        <f t="shared" si="1"/>
        <v>1200.0000476837158</v>
      </c>
      <c r="E28" s="20">
        <f t="shared" si="2"/>
        <v>0.20000000298023224</v>
      </c>
    </row>
    <row r="29" spans="1:5" x14ac:dyDescent="0.25">
      <c r="A29" s="19" t="s">
        <v>127</v>
      </c>
      <c r="B29" s="9">
        <v>5</v>
      </c>
      <c r="C29" s="16">
        <f t="shared" si="0"/>
        <v>209.99999344348907</v>
      </c>
      <c r="D29" s="16">
        <f t="shared" si="1"/>
        <v>1210.0000381469727</v>
      </c>
      <c r="E29" s="20">
        <f t="shared" si="2"/>
        <v>0.20999999344348907</v>
      </c>
    </row>
    <row r="30" spans="1:5" x14ac:dyDescent="0.25">
      <c r="A30" s="19" t="s">
        <v>128</v>
      </c>
      <c r="B30" s="9">
        <v>6</v>
      </c>
      <c r="C30" s="16">
        <f t="shared" si="0"/>
        <v>209.99999344348907</v>
      </c>
      <c r="D30" s="16">
        <f t="shared" si="1"/>
        <v>1210.0000381469727</v>
      </c>
      <c r="E30" s="20">
        <f t="shared" si="2"/>
        <v>0.20999999344348907</v>
      </c>
    </row>
    <row r="31" spans="1:5" x14ac:dyDescent="0.25">
      <c r="A31" s="19" t="s">
        <v>129</v>
      </c>
      <c r="B31" s="9">
        <v>7</v>
      </c>
      <c r="C31" s="16">
        <f t="shared" si="0"/>
        <v>250</v>
      </c>
      <c r="D31" s="16">
        <f t="shared" si="1"/>
        <v>1250</v>
      </c>
      <c r="E31" s="20">
        <f t="shared" si="2"/>
        <v>0.25</v>
      </c>
    </row>
    <row r="32" spans="1:5" x14ac:dyDescent="0.25">
      <c r="A32" s="19" t="s">
        <v>130</v>
      </c>
      <c r="B32" s="9">
        <v>8</v>
      </c>
      <c r="C32" s="16">
        <f t="shared" si="0"/>
        <v>254.99999523162842</v>
      </c>
      <c r="D32" s="16">
        <f t="shared" si="1"/>
        <v>1254.9999952316284</v>
      </c>
      <c r="E32" s="20">
        <f t="shared" si="2"/>
        <v>0.25499999523162842</v>
      </c>
    </row>
    <row r="35" spans="1:1" x14ac:dyDescent="0.25">
      <c r="A35" s="12" t="s">
        <v>131</v>
      </c>
    </row>
    <row r="36" spans="1:1" x14ac:dyDescent="0.25">
      <c r="A36" s="13"/>
    </row>
    <row r="37" spans="1:1" x14ac:dyDescent="0.25">
      <c r="A37" s="13" t="s">
        <v>132</v>
      </c>
    </row>
    <row r="38" spans="1:1" x14ac:dyDescent="0.25">
      <c r="A38" s="13" t="s">
        <v>133</v>
      </c>
    </row>
    <row r="39" spans="1:1" x14ac:dyDescent="0.25">
      <c r="A39" s="13" t="s">
        <v>134</v>
      </c>
    </row>
    <row r="40" spans="1:1" x14ac:dyDescent="0.25">
      <c r="A40" s="13" t="s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0" customWidth="1"/>
    <col min="3" max="3" width="18" customWidth="1"/>
    <col min="4" max="4" width="24" customWidth="1"/>
    <col min="5" max="5" width="16" customWidth="1"/>
    <col min="6" max="6" width="20" customWidth="1"/>
  </cols>
  <sheetData>
    <row r="1" spans="1:6" ht="18" x14ac:dyDescent="0.25">
      <c r="A1" s="1" t="s">
        <v>136</v>
      </c>
    </row>
    <row r="2" spans="1:6" x14ac:dyDescent="0.25">
      <c r="A2" s="2" t="s">
        <v>137</v>
      </c>
    </row>
    <row r="4" spans="1:6" ht="30" customHeight="1" x14ac:dyDescent="0.25">
      <c r="A4" s="6" t="s">
        <v>138</v>
      </c>
      <c r="B4" s="6" t="s">
        <v>139</v>
      </c>
      <c r="C4" s="6" t="s">
        <v>140</v>
      </c>
      <c r="D4" s="6" t="s">
        <v>141</v>
      </c>
      <c r="E4" s="6" t="s">
        <v>142</v>
      </c>
      <c r="F4" s="6" t="s">
        <v>143</v>
      </c>
    </row>
    <row r="5" spans="1:6" x14ac:dyDescent="0.25">
      <c r="A5" s="7" t="s">
        <v>144</v>
      </c>
      <c r="B5" s="21">
        <v>18000</v>
      </c>
      <c r="C5" s="16">
        <f t="shared" ref="C5:C10" si="0">_xll.FISCO.IRPEF(B5)</f>
        <v>4140</v>
      </c>
      <c r="D5" s="16">
        <f t="shared" ref="D5:D10" si="1">_xll.FISCO.IRPEF(B5,1)</f>
        <v>4200</v>
      </c>
      <c r="E5" s="16">
        <f t="shared" ref="E5:E10" si="2">C5-D5</f>
        <v>-60</v>
      </c>
      <c r="F5" s="20">
        <f t="shared" ref="F5:F10" si="3">IF(B5=0,0,C5/B5)</f>
        <v>0.23</v>
      </c>
    </row>
    <row r="6" spans="1:6" x14ac:dyDescent="0.25">
      <c r="A6" s="7" t="s">
        <v>145</v>
      </c>
      <c r="B6" s="21">
        <v>28000</v>
      </c>
      <c r="C6" s="16">
        <f t="shared" si="0"/>
        <v>6440</v>
      </c>
      <c r="D6" s="16">
        <f t="shared" si="1"/>
        <v>6700</v>
      </c>
      <c r="E6" s="16">
        <f t="shared" si="2"/>
        <v>-260</v>
      </c>
      <c r="F6" s="20">
        <f t="shared" si="3"/>
        <v>0.23</v>
      </c>
    </row>
    <row r="7" spans="1:6" x14ac:dyDescent="0.25">
      <c r="A7" s="7" t="s">
        <v>146</v>
      </c>
      <c r="B7" s="21">
        <v>35000</v>
      </c>
      <c r="C7" s="16">
        <f t="shared" si="0"/>
        <v>8890</v>
      </c>
      <c r="D7" s="16">
        <f t="shared" si="1"/>
        <v>9150</v>
      </c>
      <c r="E7" s="16">
        <f t="shared" si="2"/>
        <v>-260</v>
      </c>
      <c r="F7" s="20">
        <f t="shared" si="3"/>
        <v>0.254</v>
      </c>
    </row>
    <row r="8" spans="1:6" x14ac:dyDescent="0.25">
      <c r="A8" s="7" t="s">
        <v>147</v>
      </c>
      <c r="B8" s="21">
        <v>50000</v>
      </c>
      <c r="C8" s="16">
        <f t="shared" si="0"/>
        <v>14140</v>
      </c>
      <c r="D8" s="16">
        <f t="shared" si="1"/>
        <v>14400</v>
      </c>
      <c r="E8" s="16">
        <f t="shared" si="2"/>
        <v>-260</v>
      </c>
      <c r="F8" s="20">
        <f t="shared" si="3"/>
        <v>0.2828</v>
      </c>
    </row>
    <row r="9" spans="1:6" x14ac:dyDescent="0.25">
      <c r="A9" s="7" t="s">
        <v>148</v>
      </c>
      <c r="B9" s="21">
        <v>75000</v>
      </c>
      <c r="C9" s="16">
        <f t="shared" si="0"/>
        <v>24890</v>
      </c>
      <c r="D9" s="16">
        <f t="shared" si="1"/>
        <v>25150</v>
      </c>
      <c r="E9" s="16">
        <f t="shared" si="2"/>
        <v>-260</v>
      </c>
      <c r="F9" s="20">
        <f t="shared" si="3"/>
        <v>0.33186666666666664</v>
      </c>
    </row>
    <row r="10" spans="1:6" x14ac:dyDescent="0.25">
      <c r="A10" s="7" t="s">
        <v>149</v>
      </c>
      <c r="B10" s="21">
        <v>120000</v>
      </c>
      <c r="C10" s="16">
        <f t="shared" si="0"/>
        <v>44240</v>
      </c>
      <c r="D10" s="16">
        <f t="shared" si="1"/>
        <v>44500</v>
      </c>
      <c r="E10" s="16">
        <f t="shared" si="2"/>
        <v>-260</v>
      </c>
      <c r="F10" s="20">
        <f t="shared" si="3"/>
        <v>0.36866666666666664</v>
      </c>
    </row>
    <row r="13" spans="1:6" x14ac:dyDescent="0.25">
      <c r="A13" s="12" t="s">
        <v>150</v>
      </c>
    </row>
    <row r="14" spans="1:6" x14ac:dyDescent="0.25">
      <c r="A14" s="13" t="s">
        <v>151</v>
      </c>
    </row>
    <row r="15" spans="1:6" x14ac:dyDescent="0.25">
      <c r="A15" s="13" t="s">
        <v>152</v>
      </c>
    </row>
    <row r="16" spans="1:6" x14ac:dyDescent="0.25">
      <c r="A16" s="13" t="s">
        <v>153</v>
      </c>
    </row>
    <row r="17" spans="1:1" x14ac:dyDescent="0.25">
      <c r="A17" s="13" t="s">
        <v>154</v>
      </c>
    </row>
    <row r="18" spans="1:1" x14ac:dyDescent="0.25">
      <c r="A18" s="13"/>
    </row>
    <row r="19" spans="1:1" x14ac:dyDescent="0.25">
      <c r="A19" s="13" t="s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showGridLines="0" workbookViewId="0"/>
  </sheetViews>
  <sheetFormatPr defaultRowHeight="15" x14ac:dyDescent="0.25"/>
  <cols>
    <col min="1" max="1" width="16" customWidth="1"/>
    <col min="2" max="2" width="10" customWidth="1"/>
    <col min="3" max="3" width="14" customWidth="1"/>
    <col min="4" max="4" width="18" customWidth="1"/>
    <col min="5" max="5" width="14" customWidth="1"/>
    <col min="6" max="6" width="18" customWidth="1"/>
    <col min="7" max="7" width="14" customWidth="1"/>
  </cols>
  <sheetData>
    <row r="1" spans="1:7" ht="18" x14ac:dyDescent="0.25">
      <c r="A1" s="1" t="s">
        <v>156</v>
      </c>
    </row>
    <row r="2" spans="1:7" x14ac:dyDescent="0.25">
      <c r="A2" s="2" t="s">
        <v>157</v>
      </c>
    </row>
    <row r="4" spans="1:7" x14ac:dyDescent="0.25">
      <c r="A4" s="12" t="s">
        <v>158</v>
      </c>
      <c r="C4" s="9">
        <v>7</v>
      </c>
      <c r="D4" s="13" t="s">
        <v>159</v>
      </c>
    </row>
    <row r="5" spans="1:7" x14ac:dyDescent="0.25">
      <c r="A5" s="12" t="s">
        <v>160</v>
      </c>
      <c r="C5" s="8">
        <v>46204</v>
      </c>
      <c r="D5" s="13" t="s">
        <v>161</v>
      </c>
    </row>
    <row r="7" spans="1:7" ht="30" customHeight="1" x14ac:dyDescent="0.25">
      <c r="A7" s="6" t="s">
        <v>162</v>
      </c>
      <c r="B7" s="6" t="s">
        <v>163</v>
      </c>
      <c r="C7" s="6" t="s">
        <v>164</v>
      </c>
      <c r="D7" s="6" t="s">
        <v>165</v>
      </c>
      <c r="E7" s="6" t="s">
        <v>166</v>
      </c>
      <c r="F7" s="6" t="s">
        <v>167</v>
      </c>
      <c r="G7" s="6" t="s">
        <v>168</v>
      </c>
    </row>
    <row r="8" spans="1:7" x14ac:dyDescent="0.25">
      <c r="A8" s="8">
        <v>46204</v>
      </c>
      <c r="B8" s="11">
        <f t="shared" ref="B8:B14" si="0">MONTH(A8)</f>
        <v>7</v>
      </c>
      <c r="C8" s="11">
        <f t="shared" ref="C8:C14" si="1">_xll.FISCO.MESEFISCALE(B8,$C$4)</f>
        <v>1</v>
      </c>
      <c r="D8" s="11">
        <f t="shared" ref="D8:D14" si="2">_xll.FISCO.QUADRIMESTRE(B8,$C$4)</f>
        <v>1</v>
      </c>
      <c r="E8" s="22">
        <f t="shared" ref="E8:E14" si="3">_xll.FISCO.ANNOFISCALE(A8,$C$5)</f>
        <v>2027</v>
      </c>
      <c r="F8" s="11">
        <f t="shared" ref="F8:F14" si="4">_xll.FISCO.SETTIMANAFISCALE(A8,$C$5)</f>
        <v>1</v>
      </c>
      <c r="G8" s="11">
        <f t="shared" ref="G8:G14" si="5">_xll.FISCO.SETTIMANAFISCALE(A8)</f>
        <v>27</v>
      </c>
    </row>
    <row r="9" spans="1:7" x14ac:dyDescent="0.25">
      <c r="A9" s="8">
        <v>46248</v>
      </c>
      <c r="B9" s="11">
        <f t="shared" si="0"/>
        <v>8</v>
      </c>
      <c r="C9" s="11">
        <f t="shared" si="1"/>
        <v>2</v>
      </c>
      <c r="D9" s="11">
        <f t="shared" si="2"/>
        <v>1</v>
      </c>
      <c r="E9" s="22">
        <f t="shared" si="3"/>
        <v>2027</v>
      </c>
      <c r="F9" s="11">
        <f t="shared" si="4"/>
        <v>7</v>
      </c>
      <c r="G9" s="11">
        <f t="shared" si="5"/>
        <v>33</v>
      </c>
    </row>
    <row r="10" spans="1:7" x14ac:dyDescent="0.25">
      <c r="A10" s="8">
        <v>46295</v>
      </c>
      <c r="B10" s="11">
        <f t="shared" si="0"/>
        <v>9</v>
      </c>
      <c r="C10" s="11">
        <f t="shared" si="1"/>
        <v>3</v>
      </c>
      <c r="D10" s="11">
        <f t="shared" si="2"/>
        <v>1</v>
      </c>
      <c r="E10" s="22">
        <f t="shared" si="3"/>
        <v>2027</v>
      </c>
      <c r="F10" s="11">
        <f t="shared" si="4"/>
        <v>14</v>
      </c>
      <c r="G10" s="11">
        <f t="shared" si="5"/>
        <v>40</v>
      </c>
    </row>
    <row r="11" spans="1:7" x14ac:dyDescent="0.25">
      <c r="A11" s="8">
        <v>46380</v>
      </c>
      <c r="B11" s="11">
        <f t="shared" si="0"/>
        <v>12</v>
      </c>
      <c r="C11" s="11">
        <f t="shared" si="1"/>
        <v>6</v>
      </c>
      <c r="D11" s="11">
        <f t="shared" si="2"/>
        <v>2</v>
      </c>
      <c r="E11" s="22">
        <f t="shared" si="3"/>
        <v>2027</v>
      </c>
      <c r="F11" s="11">
        <f t="shared" si="4"/>
        <v>26</v>
      </c>
      <c r="G11" s="11">
        <f t="shared" si="5"/>
        <v>52</v>
      </c>
    </row>
    <row r="12" spans="1:7" x14ac:dyDescent="0.25">
      <c r="A12" s="8">
        <v>46394</v>
      </c>
      <c r="B12" s="11">
        <f t="shared" si="0"/>
        <v>1</v>
      </c>
      <c r="C12" s="11">
        <f t="shared" si="1"/>
        <v>7</v>
      </c>
      <c r="D12" s="11">
        <f t="shared" si="2"/>
        <v>3</v>
      </c>
      <c r="E12" s="22">
        <f t="shared" si="3"/>
        <v>2027</v>
      </c>
      <c r="F12" s="11">
        <f t="shared" si="4"/>
        <v>28</v>
      </c>
      <c r="G12" s="11">
        <f t="shared" si="5"/>
        <v>2</v>
      </c>
    </row>
    <row r="13" spans="1:7" x14ac:dyDescent="0.25">
      <c r="A13" s="8">
        <v>46464</v>
      </c>
      <c r="B13" s="11">
        <f t="shared" si="0"/>
        <v>3</v>
      </c>
      <c r="C13" s="11">
        <f t="shared" si="1"/>
        <v>9</v>
      </c>
      <c r="D13" s="11">
        <f t="shared" si="2"/>
        <v>3</v>
      </c>
      <c r="E13" s="22">
        <f t="shared" si="3"/>
        <v>2027</v>
      </c>
      <c r="F13" s="11">
        <f t="shared" si="4"/>
        <v>38</v>
      </c>
      <c r="G13" s="11">
        <f t="shared" si="5"/>
        <v>12</v>
      </c>
    </row>
    <row r="14" spans="1:7" x14ac:dyDescent="0.25">
      <c r="A14" s="8">
        <v>46568</v>
      </c>
      <c r="B14" s="11">
        <f t="shared" si="0"/>
        <v>6</v>
      </c>
      <c r="C14" s="11">
        <f t="shared" si="1"/>
        <v>12</v>
      </c>
      <c r="D14" s="11">
        <f t="shared" si="2"/>
        <v>4</v>
      </c>
      <c r="E14" s="22">
        <f t="shared" si="3"/>
        <v>2027</v>
      </c>
      <c r="F14" s="11">
        <f t="shared" si="4"/>
        <v>53</v>
      </c>
      <c r="G14" s="11">
        <f t="shared" si="5"/>
        <v>27</v>
      </c>
    </row>
    <row r="17" spans="1:1" x14ac:dyDescent="0.25">
      <c r="A17" s="12" t="s">
        <v>169</v>
      </c>
    </row>
    <row r="18" spans="1:1" x14ac:dyDescent="0.25">
      <c r="A18" s="13" t="s">
        <v>170</v>
      </c>
    </row>
    <row r="19" spans="1:1" x14ac:dyDescent="0.25">
      <c r="A19" s="13" t="s">
        <v>171</v>
      </c>
    </row>
    <row r="20" spans="1:1" x14ac:dyDescent="0.25">
      <c r="A20" s="13" t="s">
        <v>172</v>
      </c>
    </row>
    <row r="21" spans="1:1" x14ac:dyDescent="0.25">
      <c r="A21" s="13" t="s">
        <v>173</v>
      </c>
    </row>
    <row r="22" spans="1:1" x14ac:dyDescent="0.25">
      <c r="A22" s="13" t="s">
        <v>174</v>
      </c>
    </row>
    <row r="23" spans="1:1" x14ac:dyDescent="0.25">
      <c r="A23" s="13"/>
    </row>
    <row r="24" spans="1:1" x14ac:dyDescent="0.25">
      <c r="A24" s="13" t="s">
        <v>175</v>
      </c>
    </row>
    <row r="25" spans="1:1" x14ac:dyDescent="0.25">
      <c r="A25" s="13" t="s">
        <v>176</v>
      </c>
    </row>
    <row r="26" spans="1:1" x14ac:dyDescent="0.25">
      <c r="A26" s="13" t="s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showGridLines="0" workbookViewId="0"/>
  </sheetViews>
  <sheetFormatPr defaultRowHeight="15" x14ac:dyDescent="0.25"/>
  <cols>
    <col min="1" max="1" width="16" customWidth="1"/>
    <col min="2" max="2" width="24" customWidth="1"/>
  </cols>
  <sheetData>
    <row r="1" spans="1:2" ht="18" x14ac:dyDescent="0.25">
      <c r="A1" s="1" t="s">
        <v>178</v>
      </c>
    </row>
    <row r="2" spans="1:2" x14ac:dyDescent="0.25">
      <c r="A2" s="2" t="s">
        <v>179</v>
      </c>
    </row>
    <row r="4" spans="1:2" x14ac:dyDescent="0.25">
      <c r="A4" s="3" t="s">
        <v>180</v>
      </c>
    </row>
    <row r="5" spans="1:2" ht="30" customHeight="1" x14ac:dyDescent="0.25">
      <c r="A5" s="6" t="s">
        <v>181</v>
      </c>
      <c r="B5" s="6" t="s">
        <v>182</v>
      </c>
    </row>
    <row r="6" spans="1:2" x14ac:dyDescent="0.25">
      <c r="A6" s="7" t="s">
        <v>183</v>
      </c>
      <c r="B6" s="10" t="str">
        <f>IFERROR(_xll.IVA.PROVINCIA.CODICE(A6),"Non trovata")</f>
        <v>022</v>
      </c>
    </row>
    <row r="7" spans="1:2" x14ac:dyDescent="0.25">
      <c r="A7" s="7" t="s">
        <v>184</v>
      </c>
      <c r="B7" s="10" t="str">
        <f>IFERROR(_xll.IVA.PROVINCIA.CODICE(A7),"Non trovata")</f>
        <v>015</v>
      </c>
    </row>
    <row r="8" spans="1:2" x14ac:dyDescent="0.25">
      <c r="A8" s="7" t="s">
        <v>185</v>
      </c>
      <c r="B8" s="10" t="str">
        <f>IFERROR(_xll.IVA.PROVINCIA.CODICE(A8),"Non trovata")</f>
        <v>058</v>
      </c>
    </row>
    <row r="9" spans="1:2" x14ac:dyDescent="0.25">
      <c r="A9" s="7" t="s">
        <v>186</v>
      </c>
      <c r="B9" s="10" t="str">
        <f>IFERROR(_xll.IVA.PROVINCIA.CODICE(A9),"Non trovata")</f>
        <v>063</v>
      </c>
    </row>
    <row r="10" spans="1:2" x14ac:dyDescent="0.25">
      <c r="A10" s="7" t="s">
        <v>187</v>
      </c>
      <c r="B10" s="10" t="str">
        <f>IFERROR(_xll.IVA.PROVINCIA.CODICE(A10),"Non trovata")</f>
        <v>023</v>
      </c>
    </row>
    <row r="13" spans="1:2" x14ac:dyDescent="0.25">
      <c r="A13" s="3" t="s">
        <v>188</v>
      </c>
    </row>
    <row r="14" spans="1:2" ht="30" customHeight="1" x14ac:dyDescent="0.25">
      <c r="A14" s="6" t="s">
        <v>182</v>
      </c>
      <c r="B14" s="6" t="s">
        <v>181</v>
      </c>
    </row>
    <row r="15" spans="1:2" x14ac:dyDescent="0.25">
      <c r="A15" s="23" t="s">
        <v>189</v>
      </c>
      <c r="B15" s="11" t="str">
        <f>IFERROR(_xll.IVA.PROVINCIA.NOME(A15),"Non trovato")</f>
        <v>Trento</v>
      </c>
    </row>
    <row r="16" spans="1:2" x14ac:dyDescent="0.25">
      <c r="A16" s="23" t="s">
        <v>190</v>
      </c>
      <c r="B16" s="11" t="str">
        <f>IFERROR(_xll.IVA.PROVINCIA.NOME(A16),"Non trovato")</f>
        <v>Milano I</v>
      </c>
    </row>
    <row r="17" spans="1:2" x14ac:dyDescent="0.25">
      <c r="A17" s="23" t="s">
        <v>191</v>
      </c>
      <c r="B17" s="11" t="str">
        <f>IFERROR(_xll.IVA.PROVINCIA.NOME(A17),"Non trovato")</f>
        <v>Roma I</v>
      </c>
    </row>
    <row r="18" spans="1:2" x14ac:dyDescent="0.25">
      <c r="A18" s="23" t="s">
        <v>192</v>
      </c>
      <c r="B18" s="11" t="str">
        <f>IFERROR(_xll.IVA.PROVINCIA.NOME(A18),"Non trovato")</f>
        <v>Torino</v>
      </c>
    </row>
    <row r="19" spans="1:2" x14ac:dyDescent="0.25">
      <c r="A19" s="23" t="s">
        <v>193</v>
      </c>
      <c r="B19" s="11" t="str">
        <f>IFERROR(_xll.IVA.PROVINCIA.NOME(A19),"Non trovato")</f>
        <v>Cagliari</v>
      </c>
    </row>
    <row r="22" spans="1:2" x14ac:dyDescent="0.25">
      <c r="A22" s="3" t="s">
        <v>194</v>
      </c>
    </row>
    <row r="23" spans="1:2" x14ac:dyDescent="0.25">
      <c r="A23" s="11" t="str">
        <f>_xll.IVA.PROVINCIA.MATRICE()</f>
        <v>Agrigento</v>
      </c>
    </row>
    <row r="24" spans="1:2" x14ac:dyDescent="0.25">
      <c r="A24" s="13" t="s">
        <v>195</v>
      </c>
    </row>
    <row r="25" spans="1:2" x14ac:dyDescent="0.25">
      <c r="A25" s="13" t="s">
        <v>196</v>
      </c>
    </row>
    <row r="26" spans="1:2" x14ac:dyDescent="0.25">
      <c r="A26" s="13" t="s">
        <v>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showGridLines="0" workbookViewId="0"/>
  </sheetViews>
  <sheetFormatPr defaultRowHeight="15" x14ac:dyDescent="0.25"/>
  <cols>
    <col min="1" max="1" width="30" customWidth="1"/>
    <col min="2" max="2" width="38" customWidth="1"/>
    <col min="3" max="3" width="30" customWidth="1"/>
    <col min="4" max="4" width="14" customWidth="1"/>
  </cols>
  <sheetData>
    <row r="1" spans="1:4" ht="18" x14ac:dyDescent="0.25">
      <c r="A1" s="1" t="s">
        <v>198</v>
      </c>
    </row>
    <row r="2" spans="1:4" x14ac:dyDescent="0.25">
      <c r="A2" s="2" t="s">
        <v>199</v>
      </c>
    </row>
    <row r="4" spans="1:4" ht="30" customHeight="1" x14ac:dyDescent="0.25">
      <c r="A4" s="6" t="s">
        <v>200</v>
      </c>
      <c r="B4" s="6" t="s">
        <v>201</v>
      </c>
      <c r="C4" s="6" t="s">
        <v>202</v>
      </c>
      <c r="D4" s="6" t="s">
        <v>5</v>
      </c>
    </row>
    <row r="5" spans="1:4" x14ac:dyDescent="0.25">
      <c r="A5" s="7" t="s">
        <v>203</v>
      </c>
      <c r="B5" s="11" t="str">
        <f>_xll.STRINGA.BASE64(A5)</f>
        <v>Q2lhbw==</v>
      </c>
      <c r="C5" s="11" t="str">
        <f>_xll.BASE64.STRINGA(B5)</f>
        <v>Ciao</v>
      </c>
      <c r="D5" s="10" t="str">
        <f>IF(A5=C5,"OK","Differente")</f>
        <v>OK</v>
      </c>
    </row>
    <row r="6" spans="1:4" x14ac:dyDescent="0.25">
      <c r="A6" s="7" t="s">
        <v>204</v>
      </c>
      <c r="B6" s="11" t="str">
        <f>_xll.STRINGA.BASE64(A6)</f>
        <v>RmF0dHVyYSAyMDI2LzAwMQ==</v>
      </c>
      <c r="C6" s="11" t="str">
        <f>_xll.BASE64.STRINGA(B6)</f>
        <v>Fattura 2026/001</v>
      </c>
      <c r="D6" s="10" t="str">
        <f>IF(A6=C6,"OK","Differente")</f>
        <v>OK</v>
      </c>
    </row>
    <row r="7" spans="1:4" x14ac:dyDescent="0.25">
      <c r="A7" s="7" t="s">
        <v>205</v>
      </c>
      <c r="B7" s="11" t="str">
        <f>_xll.STRINGA.BASE64(A7)</f>
        <v>QW5kcmVhIERlIFBhb2xpcw==</v>
      </c>
      <c r="C7" s="11" t="str">
        <f>_xll.BASE64.STRINGA(B7)</f>
        <v>Andrea De Paolis</v>
      </c>
      <c r="D7" s="10" t="str">
        <f>IF(A7=C7,"OK","Differente")</f>
        <v>OK</v>
      </c>
    </row>
    <row r="8" spans="1:4" x14ac:dyDescent="0.25">
      <c r="A8" s="7" t="s">
        <v>206</v>
      </c>
      <c r="B8" s="11" t="str">
        <f>_xll.STRINGA.BASE64(A8)</f>
        <v>SW1wb3J0bzogMS4yMjAsMDAgRVVS</v>
      </c>
      <c r="C8" s="11" t="str">
        <f>_xll.BASE64.STRINGA(B8)</f>
        <v>Importo: 1.220,00 EUR</v>
      </c>
      <c r="D8" s="10" t="str">
        <f>IF(A8=C8,"OK","Differente")</f>
        <v>OK</v>
      </c>
    </row>
    <row r="11" spans="1:4" x14ac:dyDescent="0.25">
      <c r="A11" s="12" t="s">
        <v>207</v>
      </c>
    </row>
    <row r="12" spans="1:4" x14ac:dyDescent="0.25">
      <c r="A12" s="13" t="s">
        <v>208</v>
      </c>
    </row>
    <row r="13" spans="1:4" x14ac:dyDescent="0.25">
      <c r="A13" s="13" t="s">
        <v>209</v>
      </c>
    </row>
    <row r="14" spans="1:4" x14ac:dyDescent="0.25">
      <c r="A14" s="13" t="s">
        <v>210</v>
      </c>
    </row>
    <row r="15" spans="1:4" x14ac:dyDescent="0.25">
      <c r="A15" s="13"/>
    </row>
    <row r="16" spans="1:4" x14ac:dyDescent="0.25">
      <c r="A16" s="13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Istruzioni</vt:lpstr>
      <vt:lpstr>Anagrafica Persone</vt:lpstr>
      <vt:lpstr>Clienti Fornitori</vt:lpstr>
      <vt:lpstr>Calcoli IVA</vt:lpstr>
      <vt:lpstr>IRPEF</vt:lpstr>
      <vt:lpstr>Calendario Fiscale</vt:lpstr>
      <vt:lpstr>Province IVA</vt:lpstr>
      <vt:lpstr>Utilita Testo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De Paolis</dc:creator>
  <cp:keywords/>
  <dc:description/>
  <cp:lastModifiedBy>Andrea De Paolis</cp:lastModifiedBy>
  <cp:revision/>
  <dcterms:created xsi:type="dcterms:W3CDTF">2026-07-30T06:49:42Z</dcterms:created>
  <dcterms:modified xsi:type="dcterms:W3CDTF">2026-07-30T06:58:39Z</dcterms:modified>
  <cp:category/>
  <cp:contentStatus/>
</cp:coreProperties>
</file>